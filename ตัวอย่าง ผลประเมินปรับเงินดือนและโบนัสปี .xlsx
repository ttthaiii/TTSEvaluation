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ประจำปี 2026 2569\ประเมินผลประจำปี PMS\PMS2026 ประเมินผลของปี 2025 2568 (ปรับ20262569)\DATA for Brite\"/>
    </mc:Choice>
  </mc:AlternateContent>
  <xr:revisionPtr revIDLastSave="0" documentId="8_{49EC8867-24C4-423F-B26F-ACFF3145AB25}" xr6:coauthVersionLast="47" xr6:coauthVersionMax="47" xr10:uidLastSave="{00000000-0000-0000-0000-000000000000}"/>
  <bookViews>
    <workbookView xWindow="-108" yWindow="-108" windowWidth="23256" windowHeight="12456" xr2:uid="{88621580-D39A-465F-AD15-B465B47E5F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0" i="1" l="1"/>
  <c r="AA10" i="1"/>
  <c r="W10" i="1"/>
  <c r="X10" i="1" s="1"/>
  <c r="Y10" i="1" s="1"/>
  <c r="Z10" i="1" s="1"/>
  <c r="Q10" i="1"/>
</calcChain>
</file>

<file path=xl/sharedStrings.xml><?xml version="1.0" encoding="utf-8"?>
<sst xmlns="http://schemas.openxmlformats.org/spreadsheetml/2006/main" count="60" uniqueCount="46">
  <si>
    <t>ลับเฉพาะ</t>
  </si>
  <si>
    <t>ปี2567 ผลประเมิน</t>
  </si>
  <si>
    <t>อัตราการปรับ(%)</t>
  </si>
  <si>
    <t>จำนวนการจ่ายโบนัส</t>
  </si>
  <si>
    <t>ยอดเยี่ยม</t>
  </si>
  <si>
    <t>E</t>
  </si>
  <si>
    <t>3.5</t>
  </si>
  <si>
    <t>ได้มากกว่าความคาดหวัง</t>
  </si>
  <si>
    <t>OE</t>
  </si>
  <si>
    <t xml:space="preserve">3 </t>
  </si>
  <si>
    <t>ได้ตามความคาดหวัง</t>
  </si>
  <si>
    <t>ME</t>
  </si>
  <si>
    <t>2.5</t>
  </si>
  <si>
    <t>ได้ตามความคาดหวังบางส่วน</t>
  </si>
  <si>
    <t>BE</t>
  </si>
  <si>
    <t>1.5</t>
  </si>
  <si>
    <t>ต้องปรับปรุง</t>
  </si>
  <si>
    <t>NI</t>
  </si>
  <si>
    <t>0</t>
  </si>
  <si>
    <t>ประเมินผลประจำปี 2567 (มีผลปรับในเมษายน 2568)</t>
  </si>
  <si>
    <t>2567 (ผลงาน 2566)</t>
  </si>
  <si>
    <t>2568 (ผลงานปี 2567)</t>
  </si>
  <si>
    <t>ผลประเมิน</t>
  </si>
  <si>
    <t>ปรับเงินเดือนตามเกรด</t>
  </si>
  <si>
    <t>โบนัส 11.04.67</t>
  </si>
  <si>
    <t>โบนัส 11.04.68</t>
  </si>
  <si>
    <t>ลำดับในpaper</t>
  </si>
  <si>
    <t>ลำดับ</t>
  </si>
  <si>
    <t>รหัส</t>
  </si>
  <si>
    <t>ชื่อ นามสกุล</t>
  </si>
  <si>
    <t>วันที่เริ่มงาน</t>
  </si>
  <si>
    <t>อายุงาน(ปี)</t>
  </si>
  <si>
    <t>ตำแหน่ง</t>
  </si>
  <si>
    <t>Level</t>
  </si>
  <si>
    <t>ชื่อส่วน</t>
  </si>
  <si>
    <t>ชื่อแผนก</t>
  </si>
  <si>
    <t>2566 เงินเดือน (01.67)</t>
  </si>
  <si>
    <t>คะแนนที่ได้(ตะแนน)</t>
  </si>
  <si>
    <t>เกรดที่ได้(เกรด)</t>
  </si>
  <si>
    <t>จำนวนปรับ(บาท)</t>
  </si>
  <si>
    <t>จำนวนปรับปัดเศษ(บาท)</t>
  </si>
  <si>
    <t xml:space="preserve"> เงินเดือนหลังปรับ (บาท)</t>
  </si>
  <si>
    <t>อัตราการให้(เดือน)</t>
  </si>
  <si>
    <t>โบนัสที่ได้(บาท)</t>
  </si>
  <si>
    <t xml:space="preserve"> เงินเดือนปัจจุบัน (บาท) </t>
  </si>
  <si>
    <t>หมายแหตุ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</si>
</sst>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rgb="FFC00000"/>
      <name val="Tahoma"/>
      <family val="2"/>
    </font>
    <font>
      <sz val="14"/>
      <color indexed="8"/>
      <name val="Tahoma"/>
      <family val="2"/>
    </font>
    <font>
      <sz val="14"/>
      <name val="Tahoma"/>
      <family val="2"/>
    </font>
    <font>
      <sz val="14"/>
      <color theme="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4"/>
      <color theme="2" tint="-0.249977111117893"/>
      <name val="Tahoma"/>
      <family val="2"/>
    </font>
    <font>
      <b/>
      <sz val="20"/>
      <color rgb="FFC00000"/>
      <name val="Tahoma"/>
      <family val="2"/>
    </font>
    <font>
      <b/>
      <sz val="14"/>
      <color theme="1"/>
      <name val="Tahoma"/>
      <family val="2"/>
    </font>
    <font>
      <b/>
      <sz val="14"/>
      <color indexed="8"/>
      <name val="Tahoma"/>
      <family val="2"/>
    </font>
    <font>
      <b/>
      <sz val="14"/>
      <name val="Tahoma"/>
      <family val="2"/>
    </font>
    <font>
      <b/>
      <sz val="14"/>
      <color rgb="FFC00000"/>
      <name val="Tahoma"/>
      <family val="2"/>
    </font>
    <font>
      <sz val="14"/>
      <color rgb="FFFF0000"/>
      <name val="Tahoma"/>
      <family val="2"/>
    </font>
    <font>
      <sz val="14"/>
      <color theme="2"/>
      <name val="Tahoma"/>
      <family val="2"/>
    </font>
    <font>
      <sz val="12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0" fontId="7" fillId="0" borderId="0"/>
  </cellStyleXfs>
  <cellXfs count="110">
    <xf numFmtId="0" fontId="0" fillId="0" borderId="0" xfId="0"/>
    <xf numFmtId="0" fontId="3" fillId="0" borderId="0" xfId="3" applyFont="1">
      <alignment vertical="top"/>
    </xf>
    <xf numFmtId="0" fontId="4" fillId="0" borderId="0" xfId="3" applyFont="1" applyAlignment="1">
      <alignment horizontal="center" vertical="top"/>
    </xf>
    <xf numFmtId="0" fontId="5" fillId="0" borderId="0" xfId="3" applyFont="1" applyAlignment="1">
      <alignment horizontal="center" vertical="top"/>
    </xf>
    <xf numFmtId="0" fontId="4" fillId="0" borderId="0" xfId="3" applyFont="1">
      <alignment vertical="top"/>
    </xf>
    <xf numFmtId="0" fontId="4" fillId="0" borderId="0" xfId="3" applyFont="1" applyAlignment="1">
      <alignment horizontal="left" vertical="top"/>
    </xf>
    <xf numFmtId="0" fontId="6" fillId="0" borderId="0" xfId="3" applyFont="1" applyAlignment="1">
      <alignment horizontal="center" vertical="top"/>
    </xf>
    <xf numFmtId="0" fontId="3" fillId="0" borderId="0" xfId="3" applyFont="1" applyAlignment="1">
      <alignment horizontal="center" vertical="top"/>
    </xf>
    <xf numFmtId="164" fontId="4" fillId="0" borderId="0" xfId="3" applyNumberFormat="1" applyFont="1" applyAlignment="1">
      <alignment horizontal="center" vertical="top"/>
    </xf>
    <xf numFmtId="0" fontId="8" fillId="0" borderId="0" xfId="4" applyFont="1" applyAlignment="1">
      <alignment horizontal="center" vertical="center" wrapText="1"/>
    </xf>
    <xf numFmtId="0" fontId="9" fillId="0" borderId="0" xfId="3" applyFont="1" applyAlignment="1">
      <alignment horizontal="centerContinuous" vertical="center"/>
    </xf>
    <xf numFmtId="0" fontId="10" fillId="2" borderId="1" xfId="4" applyFont="1" applyFill="1" applyBorder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5" fillId="0" borderId="0" xfId="3" applyFont="1">
      <alignment vertical="top"/>
    </xf>
    <xf numFmtId="0" fontId="3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164" fontId="4" fillId="0" borderId="0" xfId="3" applyNumberFormat="1" applyFont="1" applyAlignment="1">
      <alignment horizontal="center" vertical="center"/>
    </xf>
    <xf numFmtId="0" fontId="12" fillId="0" borderId="0" xfId="4" applyFont="1" applyAlignment="1" applyProtection="1">
      <alignment horizontal="centerContinuous" vertical="center"/>
      <protection locked="0"/>
    </xf>
    <xf numFmtId="0" fontId="5" fillId="0" borderId="0" xfId="3" applyFont="1" applyAlignment="1">
      <alignment horizontal="centerContinuous" vertical="center"/>
    </xf>
    <xf numFmtId="0" fontId="10" fillId="0" borderId="1" xfId="4" applyFont="1" applyBorder="1" applyAlignment="1" applyProtection="1">
      <alignment horizontal="center" vertical="center"/>
      <protection locked="0"/>
    </xf>
    <xf numFmtId="0" fontId="13" fillId="3" borderId="1" xfId="2" applyNumberFormat="1" applyFont="1" applyFill="1" applyBorder="1" applyAlignment="1" applyProtection="1">
      <alignment horizontal="center" vertical="center"/>
      <protection locked="0"/>
    </xf>
    <xf numFmtId="0" fontId="13" fillId="3" borderId="1" xfId="4" applyFont="1" applyFill="1" applyBorder="1" applyAlignment="1" applyProtection="1">
      <alignment horizontal="center" vertical="center"/>
      <protection locked="0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4" fillId="0" borderId="0" xfId="3" applyFont="1" applyAlignment="1">
      <alignment vertical="center"/>
    </xf>
    <xf numFmtId="164" fontId="14" fillId="0" borderId="0" xfId="3" applyNumberFormat="1" applyFont="1" applyAlignment="1">
      <alignment vertical="center"/>
    </xf>
    <xf numFmtId="49" fontId="12" fillId="0" borderId="0" xfId="4" applyNumberFormat="1" applyFont="1" applyAlignment="1" applyProtection="1">
      <alignment horizontal="centerContinuous" vertical="center"/>
      <protection locked="0"/>
    </xf>
    <xf numFmtId="2" fontId="12" fillId="0" borderId="0" xfId="4" applyNumberFormat="1" applyFont="1" applyAlignment="1" applyProtection="1">
      <alignment horizontal="centerContinuous" vertical="center"/>
      <protection locked="0"/>
    </xf>
    <xf numFmtId="0" fontId="15" fillId="0" borderId="0" xfId="3" applyFont="1" applyAlignment="1">
      <alignment horizontal="left"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vertical="center"/>
    </xf>
    <xf numFmtId="1" fontId="12" fillId="0" borderId="0" xfId="4" applyNumberFormat="1" applyFont="1" applyAlignment="1" applyProtection="1">
      <alignment horizontal="centerContinuous" vertical="center"/>
      <protection locked="0"/>
    </xf>
    <xf numFmtId="0" fontId="10" fillId="0" borderId="2" xfId="4" applyFont="1" applyBorder="1" applyAlignment="1" applyProtection="1">
      <alignment horizontal="center" vertical="center"/>
      <protection locked="0"/>
    </xf>
    <xf numFmtId="0" fontId="13" fillId="3" borderId="2" xfId="2" applyNumberFormat="1" applyFont="1" applyFill="1" applyBorder="1" applyAlignment="1" applyProtection="1">
      <alignment horizontal="center" vertical="center"/>
      <protection locked="0"/>
    </xf>
    <xf numFmtId="0" fontId="13" fillId="3" borderId="2" xfId="4" applyFont="1" applyFill="1" applyBorder="1" applyAlignment="1" applyProtection="1">
      <alignment horizontal="center" vertical="center"/>
      <protection locked="0"/>
    </xf>
    <xf numFmtId="0" fontId="11" fillId="0" borderId="0" xfId="3" applyFont="1" applyAlignment="1">
      <alignment vertical="center"/>
    </xf>
    <xf numFmtId="0" fontId="6" fillId="4" borderId="3" xfId="3" applyFont="1" applyFill="1" applyBorder="1" applyAlignment="1">
      <alignment horizontal="centerContinuous" vertical="center"/>
    </xf>
    <xf numFmtId="0" fontId="10" fillId="4" borderId="4" xfId="3" applyFont="1" applyFill="1" applyBorder="1" applyAlignment="1">
      <alignment horizontal="centerContinuous" vertical="center"/>
    </xf>
    <xf numFmtId="0" fontId="6" fillId="4" borderId="4" xfId="3" applyFont="1" applyFill="1" applyBorder="1" applyAlignment="1">
      <alignment horizontal="centerContinuous" vertical="center"/>
    </xf>
    <xf numFmtId="17" fontId="5" fillId="2" borderId="5" xfId="4" applyNumberFormat="1" applyFont="1" applyFill="1" applyBorder="1" applyAlignment="1" applyProtection="1">
      <alignment horizontal="center" vertical="center"/>
      <protection locked="0"/>
    </xf>
    <xf numFmtId="0" fontId="5" fillId="2" borderId="3" xfId="4" applyFont="1" applyFill="1" applyBorder="1" applyAlignment="1" applyProtection="1">
      <alignment horizontal="centerContinuous" vertical="center"/>
      <protection locked="0"/>
    </xf>
    <xf numFmtId="0" fontId="5" fillId="2" borderId="4" xfId="4" applyFont="1" applyFill="1" applyBorder="1" applyAlignment="1" applyProtection="1">
      <alignment horizontal="centerContinuous" vertical="center"/>
      <protection locked="0"/>
    </xf>
    <xf numFmtId="2" fontId="5" fillId="2" borderId="6" xfId="4" applyNumberFormat="1" applyFont="1" applyFill="1" applyBorder="1" applyAlignment="1" applyProtection="1">
      <alignment horizontal="centerContinuous" vertical="center"/>
      <protection locked="0"/>
    </xf>
    <xf numFmtId="0" fontId="4" fillId="2" borderId="4" xfId="3" applyFont="1" applyFill="1" applyBorder="1" applyAlignment="1">
      <alignment horizontal="centerContinuous" vertical="top"/>
    </xf>
    <xf numFmtId="0" fontId="11" fillId="2" borderId="4" xfId="3" applyFont="1" applyFill="1" applyBorder="1" applyAlignment="1">
      <alignment horizontal="centerContinuous" vertical="center"/>
    </xf>
    <xf numFmtId="0" fontId="11" fillId="2" borderId="6" xfId="3" applyFont="1" applyFill="1" applyBorder="1" applyAlignment="1">
      <alignment horizontal="centerContinuous" vertical="center"/>
    </xf>
    <xf numFmtId="0" fontId="12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14" fontId="16" fillId="0" borderId="0" xfId="3" applyNumberFormat="1" applyFont="1" applyAlignment="1">
      <alignment horizontal="center" vertical="center" wrapText="1"/>
    </xf>
    <xf numFmtId="17" fontId="5" fillId="0" borderId="7" xfId="4" applyNumberFormat="1" applyFont="1" applyBorder="1" applyAlignment="1" applyProtection="1">
      <alignment horizontal="center" vertical="center"/>
      <protection locked="0"/>
    </xf>
    <xf numFmtId="0" fontId="6" fillId="4" borderId="3" xfId="3" applyFont="1" applyFill="1" applyBorder="1" applyAlignment="1">
      <alignment horizontal="center" vertical="center"/>
    </xf>
    <xf numFmtId="0" fontId="6" fillId="4" borderId="6" xfId="3" applyFont="1" applyFill="1" applyBorder="1" applyAlignment="1">
      <alignment horizontal="center" vertical="center"/>
    </xf>
    <xf numFmtId="0" fontId="12" fillId="4" borderId="3" xfId="3" applyFont="1" applyFill="1" applyBorder="1" applyAlignment="1">
      <alignment horizontal="center" vertical="center"/>
    </xf>
    <xf numFmtId="0" fontId="4" fillId="4" borderId="4" xfId="3" applyFont="1" applyFill="1" applyBorder="1" applyAlignment="1">
      <alignment horizontal="centerContinuous" vertical="center"/>
    </xf>
    <xf numFmtId="0" fontId="4" fillId="4" borderId="4" xfId="3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Continuous" vertical="center"/>
    </xf>
    <xf numFmtId="0" fontId="6" fillId="4" borderId="4" xfId="3" applyFont="1" applyFill="1" applyBorder="1" applyAlignment="1">
      <alignment horizontal="center" vertical="center"/>
    </xf>
    <xf numFmtId="17" fontId="5" fillId="2" borderId="8" xfId="4" applyNumberFormat="1" applyFont="1" applyFill="1" applyBorder="1" applyAlignment="1" applyProtection="1">
      <alignment horizontal="center" vertical="center"/>
      <protection locked="0"/>
    </xf>
    <xf numFmtId="49" fontId="5" fillId="2" borderId="9" xfId="4" applyNumberFormat="1" applyFont="1" applyFill="1" applyBorder="1" applyAlignment="1" applyProtection="1">
      <alignment horizontal="centerContinuous" vertical="center"/>
      <protection locked="0"/>
    </xf>
    <xf numFmtId="49" fontId="5" fillId="2" borderId="10" xfId="4" applyNumberFormat="1" applyFont="1" applyFill="1" applyBorder="1" applyAlignment="1" applyProtection="1">
      <alignment horizontal="centerContinuous" vertical="center"/>
      <protection locked="0"/>
    </xf>
    <xf numFmtId="0" fontId="5" fillId="2" borderId="9" xfId="4" applyFont="1" applyFill="1" applyBorder="1" applyAlignment="1" applyProtection="1">
      <alignment horizontal="centerContinuous" vertical="center"/>
      <protection locked="0"/>
    </xf>
    <xf numFmtId="0" fontId="4" fillId="2" borderId="11" xfId="3" applyFont="1" applyFill="1" applyBorder="1" applyAlignment="1">
      <alignment horizontal="centerContinuous" vertical="top"/>
    </xf>
    <xf numFmtId="0" fontId="4" fillId="2" borderId="10" xfId="3" applyFont="1" applyFill="1" applyBorder="1" applyAlignment="1">
      <alignment horizontal="centerContinuous" vertical="top"/>
    </xf>
    <xf numFmtId="0" fontId="4" fillId="2" borderId="9" xfId="3" applyFont="1" applyFill="1" applyBorder="1" applyAlignment="1">
      <alignment horizontal="centerContinuous" vertical="center"/>
    </xf>
    <xf numFmtId="0" fontId="11" fillId="2" borderId="10" xfId="3" applyFont="1" applyFill="1" applyBorder="1" applyAlignment="1">
      <alignment horizontal="centerContinuous" vertical="center"/>
    </xf>
    <xf numFmtId="0" fontId="13" fillId="0" borderId="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0" fontId="5" fillId="0" borderId="1" xfId="3" applyFont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Continuous" vertical="center" wrapText="1"/>
    </xf>
    <xf numFmtId="0" fontId="4" fillId="2" borderId="4" xfId="3" applyFont="1" applyFill="1" applyBorder="1" applyAlignment="1">
      <alignment horizontal="centerContinuous" vertical="center" wrapText="1"/>
    </xf>
    <xf numFmtId="0" fontId="6" fillId="2" borderId="13" xfId="3" applyFont="1" applyFill="1" applyBorder="1" applyAlignment="1">
      <alignment horizontal="center" vertical="center" wrapText="1"/>
    </xf>
    <xf numFmtId="0" fontId="4" fillId="2" borderId="6" xfId="3" applyFont="1" applyFill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6" fillId="0" borderId="16" xfId="3" applyFont="1" applyBorder="1" applyAlignment="1"/>
    <xf numFmtId="0" fontId="6" fillId="0" borderId="17" xfId="3" applyFont="1" applyBorder="1" applyAlignment="1"/>
    <xf numFmtId="0" fontId="10" fillId="3" borderId="18" xfId="3" applyFont="1" applyFill="1" applyBorder="1" applyAlignment="1">
      <alignment horizontal="center"/>
    </xf>
    <xf numFmtId="0" fontId="6" fillId="0" borderId="18" xfId="3" applyFont="1" applyBorder="1" applyAlignment="1">
      <alignment horizontal="center"/>
    </xf>
    <xf numFmtId="0" fontId="6" fillId="0" borderId="18" xfId="3" applyFont="1" applyBorder="1" applyAlignment="1"/>
    <xf numFmtId="0" fontId="6" fillId="0" borderId="18" xfId="3" applyFont="1" applyBorder="1" applyAlignment="1">
      <alignment horizontal="left"/>
    </xf>
    <xf numFmtId="0" fontId="6" fillId="3" borderId="18" xfId="3" applyFont="1" applyFill="1" applyBorder="1" applyAlignment="1"/>
    <xf numFmtId="43" fontId="6" fillId="0" borderId="18" xfId="1" applyFont="1" applyFill="1" applyBorder="1" applyAlignment="1"/>
    <xf numFmtId="2" fontId="6" fillId="4" borderId="18" xfId="3" applyNumberFormat="1" applyFont="1" applyFill="1" applyBorder="1" applyAlignment="1"/>
    <xf numFmtId="0" fontId="6" fillId="4" borderId="18" xfId="3" applyFont="1" applyFill="1" applyBorder="1" applyAlignment="1">
      <alignment horizontal="center"/>
    </xf>
    <xf numFmtId="2" fontId="6" fillId="0" borderId="18" xfId="3" applyNumberFormat="1" applyFont="1" applyBorder="1" applyAlignment="1">
      <alignment horizontal="center"/>
    </xf>
    <xf numFmtId="164" fontId="6" fillId="0" borderId="18" xfId="3" applyNumberFormat="1" applyFont="1" applyBorder="1" applyAlignment="1"/>
    <xf numFmtId="164" fontId="6" fillId="3" borderId="18" xfId="3" applyNumberFormat="1" applyFont="1" applyFill="1" applyBorder="1" applyAlignment="1"/>
    <xf numFmtId="43" fontId="6" fillId="3" borderId="18" xfId="1" applyFont="1" applyFill="1" applyBorder="1" applyAlignment="1"/>
    <xf numFmtId="43" fontId="6" fillId="2" borderId="18" xfId="1" applyFont="1" applyFill="1" applyBorder="1" applyAlignment="1"/>
    <xf numFmtId="9" fontId="6" fillId="2" borderId="18" xfId="2" applyFont="1" applyFill="1" applyBorder="1" applyAlignment="1">
      <alignment horizontal="center"/>
    </xf>
    <xf numFmtId="0" fontId="6" fillId="2" borderId="18" xfId="3" applyFont="1" applyFill="1" applyBorder="1" applyAlignment="1">
      <alignment horizontal="center"/>
    </xf>
    <xf numFmtId="0" fontId="6" fillId="3" borderId="18" xfId="3" applyFont="1" applyFill="1" applyBorder="1" applyAlignment="1">
      <alignment horizontal="center"/>
    </xf>
    <xf numFmtId="0" fontId="0" fillId="0" borderId="15" xfId="0" applyBorder="1"/>
  </cellXfs>
  <cellStyles count="5">
    <cellStyle name="Comma" xfId="1" builtinId="3"/>
    <cellStyle name="Normal" xfId="0" builtinId="0"/>
    <cellStyle name="Normal 2" xfId="3" xr:uid="{45DF18CD-DF5E-4B04-BB0F-39B5F20B228C}"/>
    <cellStyle name="Normal 3" xfId="4" xr:uid="{5D623F90-78B2-4476-B4AE-3417912FE9A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C878-BBBE-4B6E-8AD0-2BAA8126E6AE}">
  <dimension ref="A1:AE78"/>
  <sheetViews>
    <sheetView tabSelected="1" zoomScale="60" zoomScaleNormal="60" workbookViewId="0">
      <selection activeCell="D1" sqref="D1"/>
    </sheetView>
  </sheetViews>
  <sheetFormatPr defaultRowHeight="14.4"/>
  <cols>
    <col min="1" max="31" width="15.21875" customWidth="1"/>
  </cols>
  <sheetData>
    <row r="1" spans="1:31" ht="87">
      <c r="A1" s="1"/>
      <c r="B1" s="2"/>
      <c r="C1" s="3"/>
      <c r="D1" s="4"/>
      <c r="E1" s="5"/>
      <c r="F1" s="2"/>
      <c r="G1" s="2"/>
      <c r="H1" s="2"/>
      <c r="I1" s="2"/>
      <c r="J1" s="2"/>
      <c r="K1" s="2"/>
      <c r="L1" s="6"/>
      <c r="M1" s="6"/>
      <c r="N1" s="7"/>
      <c r="O1" s="2"/>
      <c r="P1" s="2"/>
      <c r="Q1" s="8"/>
      <c r="R1" s="7"/>
      <c r="S1" s="4"/>
      <c r="T1" s="9"/>
      <c r="U1" s="4"/>
      <c r="V1" s="10" t="s">
        <v>0</v>
      </c>
      <c r="W1" s="4"/>
      <c r="X1" s="11" t="s">
        <v>1</v>
      </c>
      <c r="Y1" s="11" t="s">
        <v>2</v>
      </c>
      <c r="Z1" s="11" t="s">
        <v>3</v>
      </c>
      <c r="AA1" s="12"/>
      <c r="AB1" s="13"/>
      <c r="AC1" s="4"/>
      <c r="AD1" s="14"/>
      <c r="AE1" s="4"/>
    </row>
    <row r="2" spans="1:31" ht="17.399999999999999">
      <c r="A2" s="15"/>
      <c r="B2" s="16"/>
      <c r="C2" s="17"/>
      <c r="D2" s="18"/>
      <c r="E2" s="19"/>
      <c r="F2" s="16"/>
      <c r="G2" s="16"/>
      <c r="H2" s="16"/>
      <c r="I2" s="16"/>
      <c r="J2" s="16"/>
      <c r="K2" s="16"/>
      <c r="L2" s="20"/>
      <c r="M2" s="20"/>
      <c r="N2" s="21"/>
      <c r="O2" s="16"/>
      <c r="P2" s="16"/>
      <c r="Q2" s="22"/>
      <c r="R2" s="21"/>
      <c r="S2" s="18"/>
      <c r="T2" s="23" t="s">
        <v>4</v>
      </c>
      <c r="U2" s="24"/>
      <c r="V2" s="24"/>
      <c r="W2" s="23"/>
      <c r="X2" s="25" t="s">
        <v>5</v>
      </c>
      <c r="Y2" s="26" t="s">
        <v>6</v>
      </c>
      <c r="Z2" s="27">
        <v>2</v>
      </c>
      <c r="AA2" s="12"/>
      <c r="AB2" s="13"/>
      <c r="AC2" s="18"/>
      <c r="AD2" s="28"/>
      <c r="AE2" s="28"/>
    </row>
    <row r="3" spans="1:31" ht="17.399999999999999">
      <c r="A3" s="15"/>
      <c r="B3" s="16"/>
      <c r="C3" s="17"/>
      <c r="D3" s="18"/>
      <c r="E3" s="19"/>
      <c r="F3" s="16"/>
      <c r="G3" s="18"/>
      <c r="H3" s="18"/>
      <c r="I3" s="18"/>
      <c r="J3" s="18"/>
      <c r="K3" s="18"/>
      <c r="L3" s="29"/>
      <c r="M3" s="20"/>
      <c r="N3" s="30"/>
      <c r="O3" s="31"/>
      <c r="P3" s="31"/>
      <c r="Q3" s="32"/>
      <c r="R3" s="30"/>
      <c r="S3" s="31"/>
      <c r="T3" s="23" t="s">
        <v>7</v>
      </c>
      <c r="U3" s="33"/>
      <c r="V3" s="23"/>
      <c r="W3" s="34"/>
      <c r="X3" s="25" t="s">
        <v>8</v>
      </c>
      <c r="Y3" s="26" t="s">
        <v>9</v>
      </c>
      <c r="Z3" s="27">
        <v>1.25</v>
      </c>
      <c r="AA3" s="12"/>
      <c r="AB3" s="13"/>
      <c r="AC3" s="18"/>
      <c r="AD3" s="28"/>
      <c r="AE3" s="28"/>
    </row>
    <row r="4" spans="1:31" ht="17.399999999999999">
      <c r="A4" s="15"/>
      <c r="B4" s="18"/>
      <c r="C4" s="17"/>
      <c r="D4" s="12"/>
      <c r="E4" s="35">
        <v>4</v>
      </c>
      <c r="F4" s="36">
        <v>5</v>
      </c>
      <c r="G4" s="36">
        <v>6</v>
      </c>
      <c r="H4" s="36">
        <v>7</v>
      </c>
      <c r="I4" s="36">
        <v>8</v>
      </c>
      <c r="J4" s="36">
        <v>9</v>
      </c>
      <c r="K4" s="36"/>
      <c r="L4" s="20"/>
      <c r="M4" s="20"/>
      <c r="N4" s="36"/>
      <c r="O4" s="36"/>
      <c r="P4" s="36"/>
      <c r="Q4" s="36"/>
      <c r="R4" s="36"/>
      <c r="S4" s="37"/>
      <c r="T4" s="23" t="s">
        <v>10</v>
      </c>
      <c r="U4" s="33"/>
      <c r="V4" s="23"/>
      <c r="W4" s="38"/>
      <c r="X4" s="25" t="s">
        <v>11</v>
      </c>
      <c r="Y4" s="26" t="s">
        <v>12</v>
      </c>
      <c r="Z4" s="27">
        <v>0.75</v>
      </c>
      <c r="AA4" s="12"/>
      <c r="AB4" s="13"/>
      <c r="AC4" s="18"/>
      <c r="AD4" s="28"/>
      <c r="AE4" s="28"/>
    </row>
    <row r="5" spans="1:31" ht="17.399999999999999">
      <c r="A5" s="15"/>
      <c r="B5" s="18"/>
      <c r="C5" s="17"/>
      <c r="D5" s="12"/>
      <c r="E5" s="35"/>
      <c r="F5" s="36"/>
      <c r="G5" s="36"/>
      <c r="H5" s="36"/>
      <c r="I5" s="36"/>
      <c r="J5" s="36"/>
      <c r="K5" s="36"/>
      <c r="L5" s="20"/>
      <c r="M5" s="20"/>
      <c r="N5" s="36"/>
      <c r="O5" s="36"/>
      <c r="P5" s="36"/>
      <c r="Q5" s="36"/>
      <c r="R5" s="36"/>
      <c r="S5" s="37"/>
      <c r="T5" s="23" t="s">
        <v>13</v>
      </c>
      <c r="U5" s="33"/>
      <c r="V5" s="23"/>
      <c r="W5" s="38"/>
      <c r="X5" s="25" t="s">
        <v>14</v>
      </c>
      <c r="Y5" s="26" t="s">
        <v>15</v>
      </c>
      <c r="Z5" s="27">
        <v>0</v>
      </c>
      <c r="AA5" s="12"/>
      <c r="AB5" s="13"/>
      <c r="AC5" s="18"/>
      <c r="AD5" s="28"/>
      <c r="AE5" s="28"/>
    </row>
    <row r="6" spans="1:31" ht="17.399999999999999">
      <c r="A6" s="15"/>
      <c r="B6" s="18"/>
      <c r="C6" s="17"/>
      <c r="D6" s="12"/>
      <c r="E6" s="35"/>
      <c r="F6" s="36"/>
      <c r="G6" s="36"/>
      <c r="H6" s="36"/>
      <c r="I6" s="36"/>
      <c r="J6" s="36"/>
      <c r="K6" s="36"/>
      <c r="L6" s="20"/>
      <c r="M6" s="20"/>
      <c r="N6" s="36"/>
      <c r="O6" s="36"/>
      <c r="P6" s="36"/>
      <c r="Q6" s="36"/>
      <c r="R6" s="36"/>
      <c r="S6" s="37"/>
      <c r="T6" s="23" t="s">
        <v>16</v>
      </c>
      <c r="U6" s="33"/>
      <c r="V6" s="23"/>
      <c r="W6" s="38"/>
      <c r="X6" s="39" t="s">
        <v>17</v>
      </c>
      <c r="Y6" s="40" t="s">
        <v>18</v>
      </c>
      <c r="Z6" s="41">
        <v>0</v>
      </c>
      <c r="AA6" s="12"/>
      <c r="AB6" s="13"/>
      <c r="AC6" s="18"/>
      <c r="AD6" s="28"/>
      <c r="AE6" s="28"/>
    </row>
    <row r="7" spans="1:31" ht="24.6">
      <c r="A7" s="1"/>
      <c r="B7" s="2"/>
      <c r="C7" s="3"/>
      <c r="D7" s="13" t="s">
        <v>19</v>
      </c>
      <c r="E7" s="5"/>
      <c r="F7" s="12"/>
      <c r="G7" s="42"/>
      <c r="H7" s="42"/>
      <c r="I7" s="42"/>
      <c r="J7" s="42"/>
      <c r="K7" s="2"/>
      <c r="L7" s="43" t="s">
        <v>20</v>
      </c>
      <c r="M7" s="44"/>
      <c r="N7" s="45"/>
      <c r="O7" s="45"/>
      <c r="P7" s="44"/>
      <c r="Q7" s="44"/>
      <c r="R7" s="44"/>
      <c r="S7" s="44"/>
      <c r="T7" s="46">
        <v>243984</v>
      </c>
      <c r="U7" s="47" t="s">
        <v>21</v>
      </c>
      <c r="V7" s="48"/>
      <c r="W7" s="49"/>
      <c r="X7" s="50"/>
      <c r="Y7" s="50"/>
      <c r="Z7" s="50"/>
      <c r="AA7" s="51"/>
      <c r="AB7" s="52"/>
      <c r="AC7" s="4"/>
      <c r="AD7" s="4"/>
      <c r="AE7" s="10" t="s">
        <v>0</v>
      </c>
    </row>
    <row r="8" spans="1:31" ht="18" thickBot="1">
      <c r="A8" s="1"/>
      <c r="B8" s="2"/>
      <c r="C8" s="53"/>
      <c r="D8" s="16"/>
      <c r="E8" s="54"/>
      <c r="F8" s="55">
        <v>45657</v>
      </c>
      <c r="G8" s="12"/>
      <c r="H8" s="12"/>
      <c r="I8" s="12"/>
      <c r="J8" s="12"/>
      <c r="K8" s="56">
        <v>243619</v>
      </c>
      <c r="L8" s="57" t="s">
        <v>22</v>
      </c>
      <c r="M8" s="58"/>
      <c r="N8" s="59"/>
      <c r="O8" s="60"/>
      <c r="P8" s="61" t="s">
        <v>23</v>
      </c>
      <c r="Q8" s="62"/>
      <c r="R8" s="57" t="s">
        <v>24</v>
      </c>
      <c r="S8" s="63"/>
      <c r="T8" s="64"/>
      <c r="U8" s="65" t="s">
        <v>22</v>
      </c>
      <c r="V8" s="66"/>
      <c r="W8" s="67" t="s">
        <v>23</v>
      </c>
      <c r="X8" s="68"/>
      <c r="Y8" s="68"/>
      <c r="Z8" s="69"/>
      <c r="AA8" s="70" t="s">
        <v>25</v>
      </c>
      <c r="AB8" s="71"/>
      <c r="AC8" s="4"/>
      <c r="AD8" s="4"/>
      <c r="AE8" s="4"/>
    </row>
    <row r="9" spans="1:31" ht="52.2">
      <c r="A9" s="72" t="s">
        <v>26</v>
      </c>
      <c r="B9" s="73" t="s">
        <v>27</v>
      </c>
      <c r="C9" s="74" t="s">
        <v>28</v>
      </c>
      <c r="D9" s="75" t="s">
        <v>29</v>
      </c>
      <c r="E9" s="76" t="s">
        <v>30</v>
      </c>
      <c r="F9" s="74" t="s">
        <v>31</v>
      </c>
      <c r="G9" s="74" t="s">
        <v>32</v>
      </c>
      <c r="H9" s="74" t="s">
        <v>33</v>
      </c>
      <c r="I9" s="74" t="s">
        <v>34</v>
      </c>
      <c r="J9" s="74" t="s">
        <v>35</v>
      </c>
      <c r="K9" s="77" t="s">
        <v>36</v>
      </c>
      <c r="L9" s="78" t="s">
        <v>37</v>
      </c>
      <c r="M9" s="78" t="s">
        <v>38</v>
      </c>
      <c r="N9" s="79" t="s">
        <v>2</v>
      </c>
      <c r="O9" s="79" t="s">
        <v>39</v>
      </c>
      <c r="P9" s="79" t="s">
        <v>40</v>
      </c>
      <c r="Q9" s="79" t="s">
        <v>41</v>
      </c>
      <c r="R9" s="80" t="s">
        <v>42</v>
      </c>
      <c r="S9" s="78" t="s">
        <v>43</v>
      </c>
      <c r="T9" s="81" t="s">
        <v>44</v>
      </c>
      <c r="U9" s="82" t="s">
        <v>37</v>
      </c>
      <c r="V9" s="82" t="s">
        <v>38</v>
      </c>
      <c r="W9" s="83" t="s">
        <v>2</v>
      </c>
      <c r="X9" s="84" t="s">
        <v>39</v>
      </c>
      <c r="Y9" s="85" t="s">
        <v>40</v>
      </c>
      <c r="Z9" s="86" t="s">
        <v>41</v>
      </c>
      <c r="AA9" s="87" t="s">
        <v>42</v>
      </c>
      <c r="AB9" s="88" t="s">
        <v>43</v>
      </c>
      <c r="AC9" s="89" t="s">
        <v>28</v>
      </c>
      <c r="AD9" s="90" t="s">
        <v>29</v>
      </c>
      <c r="AE9" s="90" t="s">
        <v>45</v>
      </c>
    </row>
    <row r="10" spans="1:31" ht="17.399999999999999">
      <c r="A10" s="93">
        <v>1</v>
      </c>
      <c r="B10" s="94"/>
      <c r="C10" s="94"/>
      <c r="D10" s="95"/>
      <c r="E10" s="96"/>
      <c r="F10" s="95"/>
      <c r="G10" s="97"/>
      <c r="H10" s="95"/>
      <c r="I10" s="97"/>
      <c r="J10" s="97"/>
      <c r="K10" s="98"/>
      <c r="L10" s="99"/>
      <c r="M10" s="100"/>
      <c r="N10" s="101"/>
      <c r="O10" s="102"/>
      <c r="P10" s="103"/>
      <c r="Q10" s="104">
        <f t="shared" ref="Q10" si="0">K10+P10</f>
        <v>0</v>
      </c>
      <c r="R10" s="94"/>
      <c r="S10" s="102"/>
      <c r="T10" s="105"/>
      <c r="U10" s="106"/>
      <c r="V10" s="107"/>
      <c r="W10" s="108" t="b">
        <f t="shared" ref="W10" si="1">IF(V10=$X$2,$Y$2,IF(V10=$X$3,$Y$3,IF(V10=$X$4,$Y$4,IF(V10=$X$5,$Y$5,IF(V10=$X$6,$Y$6)))))</f>
        <v>0</v>
      </c>
      <c r="X10" s="98">
        <f t="shared" ref="X10" si="2">T10*W10/100</f>
        <v>0</v>
      </c>
      <c r="Y10" s="98">
        <f t="shared" ref="Y10" si="3">_xlfn.CEILING.MATH(X10,10)</f>
        <v>0</v>
      </c>
      <c r="Z10" s="102">
        <f t="shared" ref="Z10" si="4">T10+Y10</f>
        <v>0</v>
      </c>
      <c r="AA10" s="108" t="b">
        <f t="shared" ref="AA10" si="5">IF(V10=$X$2,$Z$2,IF(V10=$X$3,$Z$3,IF(V10=$X$4,$Z$4,IF(V10=$X$5,$Z$5,IF(V10=$X$6,$Z$6)))))</f>
        <v>0</v>
      </c>
      <c r="AB10" s="98">
        <f t="shared" ref="AB10" si="6">T10*AA10</f>
        <v>0</v>
      </c>
      <c r="AC10" s="92"/>
      <c r="AD10" s="91"/>
      <c r="AE10" s="91"/>
    </row>
    <row r="11" spans="1:3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</row>
    <row r="12" spans="1:31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</row>
    <row r="13" spans="1:31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 spans="1:31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 spans="1:3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 spans="1:31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 spans="1:2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 spans="1:2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 spans="1:2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</row>
    <row r="20" spans="1:2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</row>
    <row r="21" spans="1:2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spans="1:2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 spans="1:2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</row>
    <row r="24" spans="1:2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</row>
    <row r="25" spans="1:2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</row>
    <row r="26" spans="1:2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</row>
    <row r="27" spans="1:2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</row>
    <row r="28" spans="1:2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</row>
    <row r="29" spans="1:2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</row>
    <row r="30" spans="1:2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</row>
    <row r="31" spans="1:2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</row>
    <row r="32" spans="1:2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</row>
    <row r="33" spans="1:2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</row>
    <row r="34" spans="1:28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</row>
    <row r="35" spans="1:28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</row>
    <row r="36" spans="1:2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</row>
    <row r="37" spans="1:28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</row>
    <row r="38" spans="1:2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</row>
    <row r="39" spans="1:28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</row>
    <row r="40" spans="1:28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1:28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</row>
    <row r="51" spans="1:28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</row>
    <row r="52" spans="1:28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</row>
    <row r="53" spans="1:28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</row>
    <row r="54" spans="1:28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</row>
    <row r="55" spans="1:28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</row>
    <row r="56" spans="1:28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</row>
    <row r="57" spans="1:28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</row>
    <row r="58" spans="1:2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</row>
    <row r="59" spans="1:28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</row>
    <row r="60" spans="1:28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</row>
    <row r="61" spans="1:28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</row>
    <row r="62" spans="1:28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</row>
    <row r="63" spans="1:28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</row>
    <row r="64" spans="1:28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</row>
    <row r="65" spans="1:28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</row>
    <row r="66" spans="1:28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 spans="1:28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</row>
    <row r="68" spans="1:2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</row>
    <row r="69" spans="1:28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</row>
    <row r="70" spans="1:28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</row>
    <row r="72" spans="1:28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</row>
    <row r="73" spans="1:28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</row>
    <row r="74" spans="1:28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</row>
    <row r="75" spans="1:28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</row>
    <row r="76" spans="1:28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</row>
    <row r="77" spans="1:28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</row>
    <row r="78" spans="1:2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</row>
  </sheetData>
  <mergeCells count="3">
    <mergeCell ref="T7:T8"/>
    <mergeCell ref="L8:M8"/>
    <mergeCell ref="R8:S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ตารกา พูลทวี</dc:creator>
  <cp:lastModifiedBy>ตารกา พูลทวี</cp:lastModifiedBy>
  <dcterms:created xsi:type="dcterms:W3CDTF">2026-01-22T04:15:08Z</dcterms:created>
  <dcterms:modified xsi:type="dcterms:W3CDTF">2026-01-22T04:18:06Z</dcterms:modified>
</cp:coreProperties>
</file>